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PycharmProjects\Cigna_DataAnalytics\Pivot Table\"/>
    </mc:Choice>
  </mc:AlternateContent>
  <xr:revisionPtr revIDLastSave="0" documentId="8_{91E42188-8330-434C-948A-8FCC2B57F840}" xr6:coauthVersionLast="47" xr6:coauthVersionMax="47" xr10:uidLastSave="{00000000-0000-0000-0000-000000000000}"/>
  <bookViews>
    <workbookView xWindow="9510" yWindow="-90" windowWidth="19380" windowHeight="10980" activeTab="3" xr2:uid="{871EFD56-D912-43F5-872B-0933B6081090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491F7-ED1E-4131-B09F-4600D03AD272}" sourceFile="C:\Training\PycharmProjects\Cigna_DataAnalytics\Dataset\IMDb+Movie+Database.xlsx" odcFile="C:\Users\Kiran\OneDrive\Documents\My Data Sources\IMDb+Movie+Database 'IMDb Movie Database$'.od.odc" keepAlive="1" name="IMDb+Movie+Database 'IMDb Movie Database$'.od" type="5" refreshedVersion="8" background="1">
    <dbPr connection="Provider=Microsoft.ACE.OLEDB.12.0;User ID=Admin;Data Source=C:\Training\PycharmProjects\Cigna_DataAnalytics\Dataset\IMDb+Movie+Database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IMDb Movie Database$'" commandType="3"/>
  </connection>
</connections>
</file>

<file path=xl/sharedStrings.xml><?xml version="1.0" encoding="utf-8"?>
<sst xmlns="http://schemas.openxmlformats.org/spreadsheetml/2006/main" count="213" uniqueCount="99">
  <si>
    <t>Country</t>
  </si>
  <si>
    <t>(All)</t>
  </si>
  <si>
    <t>Sum of Budget</t>
  </si>
  <si>
    <t>Row Labels</t>
  </si>
  <si>
    <t>A Lego Brickumentary</t>
  </si>
  <si>
    <t>Australia</t>
  </si>
  <si>
    <t>Brazil</t>
  </si>
  <si>
    <t>Dancer in the Dark</t>
  </si>
  <si>
    <t>Flame and Citron</t>
  </si>
  <si>
    <t>Manderlay</t>
  </si>
  <si>
    <t>Melancholia</t>
  </si>
  <si>
    <t>One Missed Call</t>
  </si>
  <si>
    <t>Only God Forgives</t>
  </si>
  <si>
    <t>Smilla's Sense of Snow</t>
  </si>
  <si>
    <t>Street Fighter</t>
  </si>
  <si>
    <t>The Celebration</t>
  </si>
  <si>
    <t>The Hunt</t>
  </si>
  <si>
    <t>The Quick and the Dead</t>
  </si>
  <si>
    <t>Tora! Tora! Tora!</t>
  </si>
  <si>
    <t>Trainwreck</t>
  </si>
  <si>
    <t>Grand Total</t>
  </si>
  <si>
    <t>Language</t>
  </si>
  <si>
    <t>Japan</t>
  </si>
  <si>
    <t>English</t>
  </si>
  <si>
    <t>Denmark</t>
  </si>
  <si>
    <t>Sum of Gross Revenue</t>
  </si>
  <si>
    <t>USA</t>
  </si>
  <si>
    <t>Spain</t>
  </si>
  <si>
    <t>Germany</t>
  </si>
  <si>
    <t>China</t>
  </si>
  <si>
    <t>UK</t>
  </si>
  <si>
    <t>Hong Kong</t>
  </si>
  <si>
    <t>Romania</t>
  </si>
  <si>
    <t>Georgia</t>
  </si>
  <si>
    <t>France</t>
  </si>
  <si>
    <t>Italy</t>
  </si>
  <si>
    <t>Iran</t>
  </si>
  <si>
    <t>Canada</t>
  </si>
  <si>
    <t>Mexico</t>
  </si>
  <si>
    <t>New Zealand</t>
  </si>
  <si>
    <t>Sweden</t>
  </si>
  <si>
    <t>India</t>
  </si>
  <si>
    <t>Netherlands</t>
  </si>
  <si>
    <t>Philippines</t>
  </si>
  <si>
    <t>Israel</t>
  </si>
  <si>
    <t>Czech Republic</t>
  </si>
  <si>
    <t>Official site</t>
  </si>
  <si>
    <t>Taiwan</t>
  </si>
  <si>
    <t>West Germany</t>
  </si>
  <si>
    <t>Norway</t>
  </si>
  <si>
    <t>South Africa</t>
  </si>
  <si>
    <t>South Korea</t>
  </si>
  <si>
    <t>Hungary</t>
  </si>
  <si>
    <t>Ireland</t>
  </si>
  <si>
    <t>Aruba</t>
  </si>
  <si>
    <t>Finland</t>
  </si>
  <si>
    <t>Russia</t>
  </si>
  <si>
    <t>Colombia</t>
  </si>
  <si>
    <t>Argentina</t>
  </si>
  <si>
    <t>Iceland</t>
  </si>
  <si>
    <t>Thailand</t>
  </si>
  <si>
    <t>Afghanistan</t>
  </si>
  <si>
    <t>Chile</t>
  </si>
  <si>
    <t>Belgium</t>
  </si>
  <si>
    <t>Indonesia</t>
  </si>
  <si>
    <t>Peru</t>
  </si>
  <si>
    <t>Poland</t>
  </si>
  <si>
    <t>New Line</t>
  </si>
  <si>
    <t>Comedy</t>
  </si>
  <si>
    <t>Column Labels</t>
  </si>
  <si>
    <t>Action</t>
  </si>
  <si>
    <t>Adventure</t>
  </si>
  <si>
    <t>Animation</t>
  </si>
  <si>
    <t>Biography</t>
  </si>
  <si>
    <t>Crime</t>
  </si>
  <si>
    <t>Documentary</t>
  </si>
  <si>
    <t>Drama</t>
  </si>
  <si>
    <t>Family</t>
  </si>
  <si>
    <t>Fantasy</t>
  </si>
  <si>
    <t>Horror</t>
  </si>
  <si>
    <t>Musical</t>
  </si>
  <si>
    <t>Mystery</t>
  </si>
  <si>
    <t>Romance</t>
  </si>
  <si>
    <t>Sci-Fi</t>
  </si>
  <si>
    <t>Thriller</t>
  </si>
  <si>
    <t>Western</t>
  </si>
  <si>
    <t>PG-13</t>
  </si>
  <si>
    <t>R</t>
  </si>
  <si>
    <t>G</t>
  </si>
  <si>
    <t>PG</t>
  </si>
  <si>
    <t>Unrated</t>
  </si>
  <si>
    <t>(blank)</t>
  </si>
  <si>
    <t>Not Rated</t>
  </si>
  <si>
    <t>NC-17</t>
  </si>
  <si>
    <t>Approved</t>
  </si>
  <si>
    <t>X</t>
  </si>
  <si>
    <t>GP</t>
  </si>
  <si>
    <t>M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</si>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</sst>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" refreshedDate="45972.4282662037" backgroundQuery="1" createdVersion="8" refreshedVersion="8" minRefreshableVersion="3" recordCount="3725" xr:uid="{D64D74CA-69A3-427B-A5F1-ABCC4DED676F}">
  <cacheSource type="external" connectionId="1"/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0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66A79-95FF-4352-9EE3-7A4E51116DB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10:G16" firstHeaderRow="1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1976"/>
    </i>
    <i>
      <x v="2550"/>
    </i>
    <i>
      <x v="3202"/>
    </i>
    <i>
      <x v="3452"/>
    </i>
    <i>
      <x v="3464"/>
    </i>
    <i t="grand">
      <x/>
    </i>
  </rowItems>
  <colItems count="1">
    <i/>
  </colItems>
  <pageFields count="2">
    <pageField fld="5" item="25" hier="-1"/>
    <pageField fld="4" item="10" hier="-1"/>
  </pageFields>
  <dataFields count="1"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F4EB7-C521-4765-8F1F-8779F2FE195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10:H20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">
    <i>
      <x v="86"/>
    </i>
    <i>
      <x v="705"/>
    </i>
    <i>
      <x v="1007"/>
    </i>
    <i>
      <x v="1699"/>
    </i>
    <i>
      <x v="1744"/>
    </i>
    <i>
      <x v="1981"/>
    </i>
    <i>
      <x v="2427"/>
    </i>
    <i>
      <x v="2757"/>
    </i>
    <i>
      <x v="2956"/>
    </i>
    <i t="grand">
      <x/>
    </i>
  </rowItems>
  <colFields count="1">
    <field x="-2"/>
  </colFields>
  <colItems count="2">
    <i>
      <x/>
    </i>
    <i i="1">
      <x v="1"/>
    </i>
  </colItems>
  <pageFields count="2">
    <pageField fld="5" item="11" hier="-1"/>
    <pageField fld="4" hier="-1"/>
  </pageFields>
  <dataFields count="2">
    <dataField name="Sum of Budget" fld="17" baseField="0" baseItem="0"/>
    <dataField name="Sum of Gross Revenue" fld="16" baseField="0" baseItem="0"/>
  </dataFields>
  <formats count="2">
    <format dxfId="2">
      <pivotArea collapsedLevelsAreSubtotals="1" fieldPosition="0">
        <references count="1">
          <reference field="0" count="1">
            <x v="2757"/>
          </reference>
        </references>
      </pivotArea>
    </format>
    <format dxfId="1">
      <pivotArea dataOnly="0" labelOnly="1" fieldPosition="0">
        <references count="1">
          <reference field="0" count="1">
            <x v="27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6CE9E-EDB8-4F71-B0D6-7387001E52A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10:X58" firstHeaderRow="1" firstDataRow="2" firstDataCol="1"/>
  <pivotFields count="18">
    <pivotField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" fld="16" baseField="0" baseItem="0"/>
  </dataFields>
  <formats count="1">
    <format dxfId="0">
      <pivotArea dataOnly="0" fieldPosition="0">
        <references count="1">
          <reference field="5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0986F-CEC8-4B75-8FD4-B29FE3CD840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10:G124" firstHeaderRow="1" firstDataRow="1" firstDataCol="1"/>
  <pivotFields count="18">
    <pivotField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2519-9CD0-4675-9B90-632AB29068AD}">
  <dimension ref="F7:G16"/>
  <sheetViews>
    <sheetView topLeftCell="A4" workbookViewId="0">
      <selection activeCell="K13" sqref="K13"/>
    </sheetView>
  </sheetViews>
  <sheetFormatPr defaultRowHeight="14.4" x14ac:dyDescent="0.3"/>
  <cols>
    <col min="6" max="6" width="20.6640625" bestFit="1" customWidth="1"/>
    <col min="7" max="7" width="13.5546875" bestFit="1" customWidth="1"/>
  </cols>
  <sheetData>
    <row r="7" spans="6:7" x14ac:dyDescent="0.3">
      <c r="F7" s="1" t="s">
        <v>0</v>
      </c>
      <c r="G7" t="s">
        <v>22</v>
      </c>
    </row>
    <row r="8" spans="6:7" x14ac:dyDescent="0.3">
      <c r="F8" s="1" t="s">
        <v>21</v>
      </c>
      <c r="G8" t="s">
        <v>23</v>
      </c>
    </row>
    <row r="10" spans="6:7" x14ac:dyDescent="0.3">
      <c r="F10" s="1" t="s">
        <v>3</v>
      </c>
      <c r="G10" t="s">
        <v>2</v>
      </c>
    </row>
    <row r="11" spans="6:7" x14ac:dyDescent="0.3">
      <c r="F11" s="3" t="s">
        <v>11</v>
      </c>
      <c r="G11" s="2">
        <v>27000000</v>
      </c>
    </row>
    <row r="12" spans="6:7" x14ac:dyDescent="0.3">
      <c r="F12" s="3" t="s">
        <v>14</v>
      </c>
      <c r="G12" s="2">
        <v>35000000</v>
      </c>
    </row>
    <row r="13" spans="6:7" x14ac:dyDescent="0.3">
      <c r="F13" s="3" t="s">
        <v>17</v>
      </c>
      <c r="G13" s="2">
        <v>32000000</v>
      </c>
    </row>
    <row r="14" spans="6:7" x14ac:dyDescent="0.3">
      <c r="F14" s="3" t="s">
        <v>18</v>
      </c>
      <c r="G14" s="2">
        <v>25000000</v>
      </c>
    </row>
    <row r="15" spans="6:7" x14ac:dyDescent="0.3">
      <c r="F15" s="3" t="s">
        <v>19</v>
      </c>
      <c r="G15" s="2">
        <v>35000000</v>
      </c>
    </row>
    <row r="16" spans="6:7" x14ac:dyDescent="0.3">
      <c r="F16" s="3" t="s">
        <v>20</v>
      </c>
      <c r="G16" s="2">
        <v>154000000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9675-3DED-43BF-BA7B-422CF76C12A5}">
  <dimension ref="F7:H20"/>
  <sheetViews>
    <sheetView workbookViewId="0">
      <selection activeCell="J8" sqref="J8"/>
    </sheetView>
  </sheetViews>
  <sheetFormatPr defaultRowHeight="14.4" x14ac:dyDescent="0.3"/>
  <cols>
    <col min="6" max="6" width="19.44140625" bestFit="1" customWidth="1"/>
    <col min="7" max="7" width="13.5546875" bestFit="1" customWidth="1"/>
    <col min="8" max="8" width="20" bestFit="1" customWidth="1"/>
  </cols>
  <sheetData>
    <row r="7" spans="6:8" x14ac:dyDescent="0.3">
      <c r="F7" s="1" t="s">
        <v>0</v>
      </c>
      <c r="G7" t="s">
        <v>24</v>
      </c>
    </row>
    <row r="8" spans="6:8" x14ac:dyDescent="0.3">
      <c r="F8" s="1" t="s">
        <v>21</v>
      </c>
      <c r="G8" t="s">
        <v>1</v>
      </c>
    </row>
    <row r="10" spans="6:8" x14ac:dyDescent="0.3">
      <c r="F10" s="1" t="s">
        <v>3</v>
      </c>
      <c r="G10" t="s">
        <v>2</v>
      </c>
      <c r="H10" t="s">
        <v>25</v>
      </c>
    </row>
    <row r="11" spans="6:8" x14ac:dyDescent="0.3">
      <c r="F11" s="3" t="s">
        <v>4</v>
      </c>
      <c r="G11" s="2">
        <v>1000000</v>
      </c>
      <c r="H11" s="2">
        <v>100240</v>
      </c>
    </row>
    <row r="12" spans="6:8" x14ac:dyDescent="0.3">
      <c r="F12" s="3" t="s">
        <v>7</v>
      </c>
      <c r="G12" s="2">
        <v>12800000</v>
      </c>
      <c r="H12" s="2">
        <v>4157491</v>
      </c>
    </row>
    <row r="13" spans="6:8" x14ac:dyDescent="0.3">
      <c r="F13" s="3" t="s">
        <v>8</v>
      </c>
      <c r="G13" s="2">
        <v>45000000</v>
      </c>
      <c r="H13" s="2">
        <v>145109</v>
      </c>
    </row>
    <row r="14" spans="6:8" x14ac:dyDescent="0.3">
      <c r="F14" s="3" t="s">
        <v>9</v>
      </c>
      <c r="G14" s="2">
        <v>14200000</v>
      </c>
      <c r="H14" s="2">
        <v>74205</v>
      </c>
    </row>
    <row r="15" spans="6:8" x14ac:dyDescent="0.3">
      <c r="F15" s="3" t="s">
        <v>10</v>
      </c>
      <c r="G15" s="2">
        <v>7400000</v>
      </c>
      <c r="H15" s="2">
        <v>3029870</v>
      </c>
    </row>
    <row r="16" spans="6:8" x14ac:dyDescent="0.3">
      <c r="F16" s="3" t="s">
        <v>12</v>
      </c>
      <c r="G16" s="2">
        <v>4800000</v>
      </c>
      <c r="H16" s="2">
        <v>778565</v>
      </c>
    </row>
    <row r="17" spans="6:8" x14ac:dyDescent="0.3">
      <c r="F17" s="3" t="s">
        <v>13</v>
      </c>
      <c r="G17" s="2">
        <v>35000000</v>
      </c>
      <c r="H17" s="2">
        <v>2221994</v>
      </c>
    </row>
    <row r="18" spans="6:8" x14ac:dyDescent="0.3">
      <c r="F18" s="4" t="s">
        <v>15</v>
      </c>
      <c r="G18" s="5">
        <v>1300000</v>
      </c>
      <c r="H18" s="5">
        <v>1647780</v>
      </c>
    </row>
    <row r="19" spans="6:8" x14ac:dyDescent="0.3">
      <c r="F19" s="3" t="s">
        <v>16</v>
      </c>
      <c r="G19" s="2">
        <v>3800000</v>
      </c>
      <c r="H19" s="2">
        <v>610968</v>
      </c>
    </row>
    <row r="20" spans="6:8" x14ac:dyDescent="0.3">
      <c r="F20" s="3" t="s">
        <v>20</v>
      </c>
      <c r="G20" s="2">
        <v>125300000</v>
      </c>
      <c r="H20" s="2">
        <v>12766222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AD6A-FFA7-4A0C-AE57-451972E9CC9B}">
  <dimension ref="F10:X58"/>
  <sheetViews>
    <sheetView topLeftCell="E6" zoomScale="55" zoomScaleNormal="55" workbookViewId="0">
      <selection activeCell="Y18" sqref="Y18"/>
    </sheetView>
  </sheetViews>
  <sheetFormatPr defaultRowHeight="14.4" x14ac:dyDescent="0.3"/>
  <cols>
    <col min="6" max="6" width="20" bestFit="1" customWidth="1"/>
    <col min="7" max="7" width="15.5546875" bestFit="1" customWidth="1"/>
    <col min="8" max="8" width="12" bestFit="1" customWidth="1"/>
    <col min="9" max="10" width="11" bestFit="1" customWidth="1"/>
    <col min="11" max="11" width="12" bestFit="1" customWidth="1"/>
    <col min="12" max="12" width="11" bestFit="1" customWidth="1"/>
    <col min="13" max="13" width="12.44140625" bestFit="1" customWidth="1"/>
    <col min="14" max="14" width="12" bestFit="1" customWidth="1"/>
    <col min="15" max="15" width="10" bestFit="1" customWidth="1"/>
    <col min="16" max="17" width="11" bestFit="1" customWidth="1"/>
    <col min="18" max="18" width="10" bestFit="1" customWidth="1"/>
    <col min="19" max="19" width="11" bestFit="1" customWidth="1"/>
    <col min="20" max="20" width="9" bestFit="1" customWidth="1"/>
    <col min="21" max="21" width="10" bestFit="1" customWidth="1"/>
    <col min="22" max="22" width="7" bestFit="1" customWidth="1"/>
    <col min="23" max="23" width="9" bestFit="1" customWidth="1"/>
    <col min="24" max="24" width="12" bestFit="1" customWidth="1"/>
  </cols>
  <sheetData>
    <row r="10" spans="6:24" x14ac:dyDescent="0.3">
      <c r="F10" s="1" t="s">
        <v>25</v>
      </c>
      <c r="G10" s="1" t="s">
        <v>69</v>
      </c>
    </row>
    <row r="11" spans="6:24" x14ac:dyDescent="0.3">
      <c r="F11" s="1" t="s">
        <v>3</v>
      </c>
      <c r="G11" t="s">
        <v>70</v>
      </c>
      <c r="H11" t="s">
        <v>71</v>
      </c>
      <c r="I11" t="s">
        <v>72</v>
      </c>
      <c r="J11" t="s">
        <v>73</v>
      </c>
      <c r="K11" t="s">
        <v>68</v>
      </c>
      <c r="L11" t="s">
        <v>74</v>
      </c>
      <c r="M11" t="s">
        <v>75</v>
      </c>
      <c r="N11" t="s">
        <v>76</v>
      </c>
      <c r="O11" t="s">
        <v>77</v>
      </c>
      <c r="P11" t="s">
        <v>78</v>
      </c>
      <c r="Q11" t="s">
        <v>79</v>
      </c>
      <c r="R11" t="s">
        <v>80</v>
      </c>
      <c r="S11" t="s">
        <v>81</v>
      </c>
      <c r="T11" t="s">
        <v>82</v>
      </c>
      <c r="U11" t="s">
        <v>83</v>
      </c>
      <c r="V11" t="s">
        <v>84</v>
      </c>
      <c r="W11" t="s">
        <v>85</v>
      </c>
      <c r="X11" t="s">
        <v>20</v>
      </c>
    </row>
    <row r="12" spans="6:24" x14ac:dyDescent="0.3">
      <c r="F12" s="3" t="s">
        <v>61</v>
      </c>
      <c r="G12" s="2"/>
      <c r="H12" s="2"/>
      <c r="I12" s="2"/>
      <c r="J12" s="2"/>
      <c r="K12" s="2"/>
      <c r="L12" s="2"/>
      <c r="M12" s="2"/>
      <c r="N12" s="2">
        <v>1127331</v>
      </c>
      <c r="O12" s="2"/>
      <c r="P12" s="2"/>
      <c r="Q12" s="2"/>
      <c r="R12" s="2"/>
      <c r="S12" s="2"/>
      <c r="T12" s="2"/>
      <c r="U12" s="2"/>
      <c r="V12" s="2"/>
      <c r="W12" s="2"/>
      <c r="X12" s="2">
        <v>1127331</v>
      </c>
    </row>
    <row r="13" spans="6:24" x14ac:dyDescent="0.3">
      <c r="F13" s="3" t="s">
        <v>58</v>
      </c>
      <c r="G13" s="2"/>
      <c r="H13" s="2"/>
      <c r="I13" s="2"/>
      <c r="J13" s="2"/>
      <c r="K13" s="2"/>
      <c r="L13" s="2">
        <v>1221261</v>
      </c>
      <c r="M13" s="2"/>
      <c r="N13" s="2">
        <v>20471548</v>
      </c>
      <c r="O13" s="2"/>
      <c r="P13" s="2"/>
      <c r="Q13" s="2"/>
      <c r="R13" s="2"/>
      <c r="S13" s="2"/>
      <c r="T13" s="2"/>
      <c r="U13" s="2"/>
      <c r="V13" s="2"/>
      <c r="W13" s="2"/>
      <c r="X13" s="2">
        <v>21692809</v>
      </c>
    </row>
    <row r="14" spans="6:24" x14ac:dyDescent="0.3">
      <c r="F14" s="3" t="s">
        <v>54</v>
      </c>
      <c r="G14" s="2">
        <v>10076136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>
        <v>10076136</v>
      </c>
    </row>
    <row r="15" spans="6:24" x14ac:dyDescent="0.3">
      <c r="F15" s="3" t="s">
        <v>5</v>
      </c>
      <c r="G15" s="2">
        <v>843261855</v>
      </c>
      <c r="H15" s="2">
        <v>274765505</v>
      </c>
      <c r="I15" s="2">
        <v>63992328</v>
      </c>
      <c r="J15" s="2">
        <v>40246592</v>
      </c>
      <c r="K15" s="2">
        <v>77873417</v>
      </c>
      <c r="L15" s="2">
        <v>2300604</v>
      </c>
      <c r="M15" s="2"/>
      <c r="N15" s="2">
        <v>150361951</v>
      </c>
      <c r="O15" s="2"/>
      <c r="P15" s="2"/>
      <c r="Q15" s="2">
        <v>49460140</v>
      </c>
      <c r="R15" s="2"/>
      <c r="S15" s="2">
        <v>4717455</v>
      </c>
      <c r="T15" s="2"/>
      <c r="U15" s="2"/>
      <c r="V15" s="2"/>
      <c r="W15" s="2"/>
      <c r="X15" s="2">
        <v>1506979847</v>
      </c>
    </row>
    <row r="16" spans="6:24" x14ac:dyDescent="0.3">
      <c r="F16" s="3" t="s">
        <v>63</v>
      </c>
      <c r="G16" s="2"/>
      <c r="H16" s="2">
        <v>4091</v>
      </c>
      <c r="I16" s="2"/>
      <c r="J16" s="2">
        <v>1357042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>
        <v>1361133</v>
      </c>
    </row>
    <row r="17" spans="6:24" x14ac:dyDescent="0.3">
      <c r="F17" s="3" t="s">
        <v>6</v>
      </c>
      <c r="G17" s="2">
        <v>8060</v>
      </c>
      <c r="H17" s="2"/>
      <c r="I17" s="2"/>
      <c r="J17" s="2"/>
      <c r="K17" s="2">
        <v>375723</v>
      </c>
      <c r="L17" s="2">
        <v>7563397</v>
      </c>
      <c r="M17" s="2"/>
      <c r="N17" s="2">
        <v>5615690</v>
      </c>
      <c r="O17" s="2"/>
      <c r="P17" s="2"/>
      <c r="Q17" s="2"/>
      <c r="R17" s="2"/>
      <c r="S17" s="2"/>
      <c r="T17" s="2"/>
      <c r="U17" s="2"/>
      <c r="V17" s="2"/>
      <c r="W17" s="2"/>
      <c r="X17" s="2">
        <v>13562870</v>
      </c>
    </row>
    <row r="18" spans="6:24" x14ac:dyDescent="0.3">
      <c r="F18" s="3" t="s">
        <v>37</v>
      </c>
      <c r="G18" s="2">
        <v>718355657</v>
      </c>
      <c r="H18" s="2">
        <v>260123835</v>
      </c>
      <c r="I18" s="2"/>
      <c r="J18" s="2">
        <v>33855526</v>
      </c>
      <c r="K18" s="2">
        <v>231856600</v>
      </c>
      <c r="L18" s="2">
        <v>1882581</v>
      </c>
      <c r="M18" s="2">
        <v>24784</v>
      </c>
      <c r="N18" s="2">
        <v>103169476</v>
      </c>
      <c r="O18" s="2"/>
      <c r="P18" s="2">
        <v>123792202</v>
      </c>
      <c r="Q18" s="2">
        <v>101747280</v>
      </c>
      <c r="R18" s="2"/>
      <c r="S18" s="2">
        <v>489220</v>
      </c>
      <c r="T18" s="2"/>
      <c r="U18" s="2">
        <v>56129</v>
      </c>
      <c r="V18" s="2"/>
      <c r="W18" s="2"/>
      <c r="X18" s="2">
        <v>1575353290</v>
      </c>
    </row>
    <row r="19" spans="6:24" x14ac:dyDescent="0.3">
      <c r="F19" s="3" t="s">
        <v>62</v>
      </c>
      <c r="G19" s="2"/>
      <c r="H19" s="2"/>
      <c r="I19" s="2"/>
      <c r="J19" s="2">
        <v>12188642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>
        <v>12188642</v>
      </c>
    </row>
    <row r="20" spans="6:24" x14ac:dyDescent="0.3">
      <c r="F20" s="3" t="s">
        <v>29</v>
      </c>
      <c r="G20" s="2">
        <v>207751008</v>
      </c>
      <c r="H20" s="2"/>
      <c r="I20" s="2"/>
      <c r="J20" s="2">
        <v>43984230</v>
      </c>
      <c r="K20" s="2"/>
      <c r="L20" s="2"/>
      <c r="M20" s="2"/>
      <c r="N20" s="2">
        <v>16088823</v>
      </c>
      <c r="O20" s="2"/>
      <c r="P20" s="2"/>
      <c r="Q20" s="2"/>
      <c r="R20" s="2"/>
      <c r="S20" s="2"/>
      <c r="T20" s="2"/>
      <c r="U20" s="2"/>
      <c r="V20" s="2"/>
      <c r="W20" s="2"/>
      <c r="X20" s="2">
        <v>267824061</v>
      </c>
    </row>
    <row r="21" spans="6:24" x14ac:dyDescent="0.3">
      <c r="F21" s="3" t="s">
        <v>57</v>
      </c>
      <c r="G21" s="2"/>
      <c r="H21" s="2"/>
      <c r="I21" s="2"/>
      <c r="J21" s="2"/>
      <c r="K21" s="2"/>
      <c r="L21" s="2">
        <v>6517198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>
        <v>6517198</v>
      </c>
    </row>
    <row r="22" spans="6:24" x14ac:dyDescent="0.3">
      <c r="F22" s="3" t="s">
        <v>45</v>
      </c>
      <c r="G22" s="2"/>
      <c r="H22" s="2"/>
      <c r="I22" s="2"/>
      <c r="J22" s="2"/>
      <c r="K22" s="2">
        <v>617228</v>
      </c>
      <c r="L22" s="2">
        <v>1206135</v>
      </c>
      <c r="M22" s="2"/>
      <c r="N22" s="2"/>
      <c r="O22" s="2"/>
      <c r="P22" s="2">
        <v>2060953</v>
      </c>
      <c r="Q22" s="2"/>
      <c r="R22" s="2"/>
      <c r="S22" s="2"/>
      <c r="T22" s="2"/>
      <c r="U22" s="2"/>
      <c r="V22" s="2"/>
      <c r="W22" s="2"/>
      <c r="X22" s="2">
        <v>3884316</v>
      </c>
    </row>
    <row r="23" spans="6:24" x14ac:dyDescent="0.3">
      <c r="F23" s="3" t="s">
        <v>24</v>
      </c>
      <c r="G23" s="2">
        <v>2221994</v>
      </c>
      <c r="H23" s="2"/>
      <c r="I23" s="2"/>
      <c r="J23" s="2"/>
      <c r="K23" s="2"/>
      <c r="L23" s="2">
        <v>4936056</v>
      </c>
      <c r="M23" s="2">
        <v>100240</v>
      </c>
      <c r="N23" s="2">
        <v>5507932</v>
      </c>
      <c r="O23" s="2"/>
      <c r="P23" s="2"/>
      <c r="Q23" s="2"/>
      <c r="R23" s="2"/>
      <c r="S23" s="2"/>
      <c r="T23" s="2"/>
      <c r="U23" s="2"/>
      <c r="V23" s="2"/>
      <c r="W23" s="2"/>
      <c r="X23" s="2">
        <v>12766222</v>
      </c>
    </row>
    <row r="24" spans="6:24" x14ac:dyDescent="0.3">
      <c r="F24" s="4" t="s">
        <v>55</v>
      </c>
      <c r="G24" s="5"/>
      <c r="H24" s="5"/>
      <c r="I24" s="5"/>
      <c r="J24" s="5"/>
      <c r="K24" s="5">
        <v>611709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611709</v>
      </c>
    </row>
    <row r="25" spans="6:24" x14ac:dyDescent="0.3">
      <c r="F25" s="3" t="s">
        <v>34</v>
      </c>
      <c r="G25" s="2">
        <v>1076178688</v>
      </c>
      <c r="H25" s="2">
        <v>73505978</v>
      </c>
      <c r="I25" s="2">
        <v>11517100</v>
      </c>
      <c r="J25" s="2">
        <v>53902093</v>
      </c>
      <c r="K25" s="2">
        <v>159028092</v>
      </c>
      <c r="L25" s="2">
        <v>8478574</v>
      </c>
      <c r="M25" s="2">
        <v>107581601</v>
      </c>
      <c r="N25" s="2">
        <v>360552216</v>
      </c>
      <c r="O25" s="2"/>
      <c r="P25" s="2"/>
      <c r="Q25" s="2">
        <v>3658281</v>
      </c>
      <c r="R25" s="2"/>
      <c r="S25" s="2">
        <v>15523168</v>
      </c>
      <c r="T25" s="2"/>
      <c r="U25" s="2"/>
      <c r="V25" s="2"/>
      <c r="W25" s="2"/>
      <c r="X25" s="2">
        <v>1869925791</v>
      </c>
    </row>
    <row r="26" spans="6:24" x14ac:dyDescent="0.3">
      <c r="F26" s="3" t="s">
        <v>33</v>
      </c>
      <c r="G26" s="2">
        <v>17149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>
        <v>17149</v>
      </c>
    </row>
    <row r="27" spans="6:24" x14ac:dyDescent="0.3">
      <c r="F27" s="3" t="s">
        <v>28</v>
      </c>
      <c r="G27" s="2">
        <v>649089608</v>
      </c>
      <c r="H27" s="2">
        <v>402893748</v>
      </c>
      <c r="I27" s="2">
        <v>72601713</v>
      </c>
      <c r="J27" s="2">
        <v>56972512</v>
      </c>
      <c r="K27" s="2">
        <v>611808983</v>
      </c>
      <c r="L27" s="2">
        <v>223435543</v>
      </c>
      <c r="M27" s="2"/>
      <c r="N27" s="2">
        <v>131741213</v>
      </c>
      <c r="O27" s="2"/>
      <c r="P27" s="2"/>
      <c r="Q27" s="2">
        <v>91573793</v>
      </c>
      <c r="R27" s="2"/>
      <c r="S27" s="2">
        <v>51799570</v>
      </c>
      <c r="T27" s="2"/>
      <c r="U27" s="2"/>
      <c r="V27" s="2"/>
      <c r="W27" s="2"/>
      <c r="X27" s="2">
        <v>2291916683</v>
      </c>
    </row>
    <row r="28" spans="6:24" x14ac:dyDescent="0.3">
      <c r="F28" s="3" t="s">
        <v>31</v>
      </c>
      <c r="G28" s="2">
        <v>166162619</v>
      </c>
      <c r="H28" s="2"/>
      <c r="I28" s="2"/>
      <c r="J28" s="2"/>
      <c r="K28" s="2"/>
      <c r="L28" s="2"/>
      <c r="M28" s="2"/>
      <c r="N28" s="2">
        <v>1128259</v>
      </c>
      <c r="O28" s="2"/>
      <c r="P28" s="2"/>
      <c r="Q28" s="2"/>
      <c r="R28" s="2"/>
      <c r="S28" s="2"/>
      <c r="T28" s="2"/>
      <c r="U28" s="2"/>
      <c r="V28" s="2"/>
      <c r="W28" s="2"/>
      <c r="X28" s="2">
        <v>167290878</v>
      </c>
    </row>
    <row r="29" spans="6:24" x14ac:dyDescent="0.3">
      <c r="F29" s="3" t="s">
        <v>52</v>
      </c>
      <c r="G29" s="2"/>
      <c r="H29" s="2">
        <v>23179303</v>
      </c>
      <c r="I29" s="2"/>
      <c r="J29" s="2"/>
      <c r="K29" s="2"/>
      <c r="L29" s="2"/>
      <c r="M29" s="2"/>
      <c r="N29" s="2">
        <v>195888</v>
      </c>
      <c r="O29" s="2"/>
      <c r="P29" s="2"/>
      <c r="Q29" s="2"/>
      <c r="R29" s="2"/>
      <c r="S29" s="2"/>
      <c r="T29" s="2"/>
      <c r="U29" s="2"/>
      <c r="V29" s="2"/>
      <c r="W29" s="2"/>
      <c r="X29" s="2">
        <v>23375191</v>
      </c>
    </row>
    <row r="30" spans="6:24" x14ac:dyDescent="0.3">
      <c r="F30" s="3" t="s">
        <v>59</v>
      </c>
      <c r="G30" s="2"/>
      <c r="H30" s="2"/>
      <c r="I30" s="2"/>
      <c r="J30" s="2"/>
      <c r="K30" s="2">
        <v>11835</v>
      </c>
      <c r="L30" s="2"/>
      <c r="M30" s="2"/>
      <c r="N30" s="2">
        <v>19959</v>
      </c>
      <c r="O30" s="2"/>
      <c r="P30" s="2"/>
      <c r="Q30" s="2"/>
      <c r="R30" s="2"/>
      <c r="S30" s="2"/>
      <c r="T30" s="2"/>
      <c r="U30" s="2"/>
      <c r="V30" s="2"/>
      <c r="W30" s="2"/>
      <c r="X30" s="2">
        <v>31794</v>
      </c>
    </row>
    <row r="31" spans="6:24" x14ac:dyDescent="0.3">
      <c r="F31" s="3" t="s">
        <v>41</v>
      </c>
      <c r="G31" s="2">
        <v>8100466</v>
      </c>
      <c r="H31" s="2">
        <v>4018695</v>
      </c>
      <c r="I31" s="2"/>
      <c r="J31" s="2"/>
      <c r="K31" s="2">
        <v>14176560</v>
      </c>
      <c r="L31" s="2"/>
      <c r="M31" s="2">
        <v>16892</v>
      </c>
      <c r="N31" s="2">
        <v>14087211</v>
      </c>
      <c r="O31" s="2"/>
      <c r="P31" s="2"/>
      <c r="Q31" s="2"/>
      <c r="R31" s="2"/>
      <c r="S31" s="2"/>
      <c r="T31" s="2">
        <v>129319</v>
      </c>
      <c r="U31" s="2"/>
      <c r="V31" s="2">
        <v>49000</v>
      </c>
      <c r="W31" s="2"/>
      <c r="X31" s="2">
        <v>40578143</v>
      </c>
    </row>
    <row r="32" spans="6:24" x14ac:dyDescent="0.3">
      <c r="F32" s="3" t="s">
        <v>64</v>
      </c>
      <c r="G32" s="2">
        <v>4105123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>
        <v>4105123</v>
      </c>
    </row>
    <row r="33" spans="6:24" x14ac:dyDescent="0.3">
      <c r="F33" s="3" t="s">
        <v>36</v>
      </c>
      <c r="G33" s="2">
        <v>1000000</v>
      </c>
      <c r="H33" s="2"/>
      <c r="I33" s="2"/>
      <c r="J33" s="2"/>
      <c r="K33" s="2"/>
      <c r="L33" s="2"/>
      <c r="M33" s="2"/>
      <c r="N33" s="2">
        <v>8697674</v>
      </c>
      <c r="O33" s="2"/>
      <c r="P33" s="2"/>
      <c r="Q33" s="2"/>
      <c r="R33" s="2"/>
      <c r="S33" s="2"/>
      <c r="T33" s="2"/>
      <c r="U33" s="2"/>
      <c r="V33" s="2"/>
      <c r="W33" s="2"/>
      <c r="X33" s="2">
        <v>9697674</v>
      </c>
    </row>
    <row r="34" spans="6:24" x14ac:dyDescent="0.3">
      <c r="F34" s="3" t="s">
        <v>53</v>
      </c>
      <c r="G34" s="2">
        <v>18934858</v>
      </c>
      <c r="H34" s="2"/>
      <c r="I34" s="2"/>
      <c r="J34" s="2">
        <v>1569918</v>
      </c>
      <c r="K34" s="2">
        <v>23208096</v>
      </c>
      <c r="L34" s="2"/>
      <c r="M34" s="2"/>
      <c r="N34" s="2">
        <v>24664521</v>
      </c>
      <c r="O34" s="2"/>
      <c r="P34" s="2"/>
      <c r="Q34" s="2"/>
      <c r="R34" s="2"/>
      <c r="S34" s="2"/>
      <c r="T34" s="2"/>
      <c r="U34" s="2"/>
      <c r="V34" s="2"/>
      <c r="W34" s="2"/>
      <c r="X34" s="2">
        <v>68377393</v>
      </c>
    </row>
    <row r="35" spans="6:24" x14ac:dyDescent="0.3">
      <c r="F35" s="3" t="s">
        <v>44</v>
      </c>
      <c r="G35" s="2"/>
      <c r="H35" s="2"/>
      <c r="I35" s="2">
        <v>2283276</v>
      </c>
      <c r="J35" s="2"/>
      <c r="K35" s="2">
        <v>155972</v>
      </c>
      <c r="L35" s="2"/>
      <c r="M35" s="2">
        <v>34151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>
        <v>2473399</v>
      </c>
    </row>
    <row r="36" spans="6:24" x14ac:dyDescent="0.3">
      <c r="F36" s="3" t="s">
        <v>35</v>
      </c>
      <c r="G36" s="2">
        <v>3500000</v>
      </c>
      <c r="H36" s="2"/>
      <c r="I36" s="2"/>
      <c r="J36" s="2"/>
      <c r="K36" s="2">
        <v>14595107</v>
      </c>
      <c r="L36" s="2">
        <v>5385433</v>
      </c>
      <c r="M36" s="2"/>
      <c r="N36" s="2">
        <v>7840534</v>
      </c>
      <c r="O36" s="2"/>
      <c r="P36" s="2"/>
      <c r="Q36" s="2">
        <v>476005</v>
      </c>
      <c r="R36" s="2"/>
      <c r="S36" s="2"/>
      <c r="T36" s="2"/>
      <c r="U36" s="2"/>
      <c r="V36" s="2"/>
      <c r="W36" s="2">
        <v>6100000</v>
      </c>
      <c r="X36" s="2">
        <v>37897079</v>
      </c>
    </row>
    <row r="37" spans="6:24" x14ac:dyDescent="0.3">
      <c r="F37" s="3" t="s">
        <v>22</v>
      </c>
      <c r="G37" s="2">
        <v>77716059</v>
      </c>
      <c r="H37" s="2">
        <v>32140315</v>
      </c>
      <c r="I37" s="2"/>
      <c r="J37" s="2"/>
      <c r="K37" s="2">
        <v>110031030</v>
      </c>
      <c r="L37" s="2">
        <v>94596</v>
      </c>
      <c r="M37" s="2"/>
      <c r="N37" s="2">
        <v>48856</v>
      </c>
      <c r="O37" s="2"/>
      <c r="P37" s="2"/>
      <c r="Q37" s="2">
        <v>26876529</v>
      </c>
      <c r="R37" s="2"/>
      <c r="S37" s="2"/>
      <c r="T37" s="2"/>
      <c r="U37" s="2"/>
      <c r="V37" s="2"/>
      <c r="W37" s="2"/>
      <c r="X37" s="2">
        <v>246907385</v>
      </c>
    </row>
    <row r="38" spans="6:24" x14ac:dyDescent="0.3">
      <c r="F38" s="3" t="s">
        <v>38</v>
      </c>
      <c r="G38" s="2"/>
      <c r="H38" s="2">
        <v>13622333</v>
      </c>
      <c r="I38" s="2"/>
      <c r="J38" s="2"/>
      <c r="K38" s="2">
        <v>44467787</v>
      </c>
      <c r="L38" s="2"/>
      <c r="M38" s="2"/>
      <c r="N38" s="2">
        <v>24339051</v>
      </c>
      <c r="O38" s="2"/>
      <c r="P38" s="2"/>
      <c r="Q38" s="2"/>
      <c r="R38" s="2"/>
      <c r="S38" s="2"/>
      <c r="T38" s="2"/>
      <c r="U38" s="2"/>
      <c r="V38" s="2"/>
      <c r="W38" s="2"/>
      <c r="X38" s="2">
        <v>82429171</v>
      </c>
    </row>
    <row r="39" spans="6:24" x14ac:dyDescent="0.3">
      <c r="F39" s="3" t="s">
        <v>42</v>
      </c>
      <c r="G39" s="2"/>
      <c r="H39" s="2"/>
      <c r="I39" s="2"/>
      <c r="J39" s="2"/>
      <c r="K39" s="2"/>
      <c r="L39" s="2">
        <v>713413</v>
      </c>
      <c r="M39" s="2"/>
      <c r="N39" s="2">
        <v>4941252</v>
      </c>
      <c r="O39" s="2"/>
      <c r="P39" s="2"/>
      <c r="Q39" s="2"/>
      <c r="R39" s="2"/>
      <c r="S39" s="2"/>
      <c r="T39" s="2"/>
      <c r="U39" s="2"/>
      <c r="V39" s="2"/>
      <c r="W39" s="2"/>
      <c r="X39" s="2">
        <v>5654665</v>
      </c>
    </row>
    <row r="40" spans="6:24" x14ac:dyDescent="0.3">
      <c r="F40" s="3" t="s">
        <v>67</v>
      </c>
      <c r="G40" s="2"/>
      <c r="H40" s="2"/>
      <c r="I40" s="2"/>
      <c r="J40" s="2"/>
      <c r="K40" s="2">
        <v>6712451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>
        <v>6712451</v>
      </c>
    </row>
    <row r="41" spans="6:24" x14ac:dyDescent="0.3">
      <c r="F41" s="3" t="s">
        <v>39</v>
      </c>
      <c r="G41" s="2">
        <v>537553088</v>
      </c>
      <c r="H41" s="2">
        <v>255396131</v>
      </c>
      <c r="I41" s="2"/>
      <c r="J41" s="2">
        <v>8177259</v>
      </c>
      <c r="K41" s="2"/>
      <c r="L41" s="2"/>
      <c r="M41" s="2"/>
      <c r="N41" s="2">
        <v>60930796</v>
      </c>
      <c r="O41" s="2"/>
      <c r="P41" s="2"/>
      <c r="Q41" s="2"/>
      <c r="R41" s="2"/>
      <c r="S41" s="2"/>
      <c r="T41" s="2"/>
      <c r="U41" s="2"/>
      <c r="V41" s="2"/>
      <c r="W41" s="2"/>
      <c r="X41" s="2">
        <v>862057274</v>
      </c>
    </row>
    <row r="42" spans="6:24" x14ac:dyDescent="0.3">
      <c r="F42" s="3" t="s">
        <v>49</v>
      </c>
      <c r="G42" s="2"/>
      <c r="H42" s="2"/>
      <c r="I42" s="2"/>
      <c r="J42" s="2"/>
      <c r="K42" s="2">
        <v>607797</v>
      </c>
      <c r="L42" s="2">
        <v>1196752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>
        <v>1804549</v>
      </c>
    </row>
    <row r="43" spans="6:24" x14ac:dyDescent="0.3">
      <c r="F43" s="3" t="s">
        <v>46</v>
      </c>
      <c r="G43" s="2"/>
      <c r="H43" s="2"/>
      <c r="I43" s="2"/>
      <c r="J43" s="2"/>
      <c r="K43" s="2"/>
      <c r="L43" s="2"/>
      <c r="M43" s="2"/>
      <c r="N43" s="2">
        <v>20218921</v>
      </c>
      <c r="O43" s="2"/>
      <c r="P43" s="2"/>
      <c r="Q43" s="2"/>
      <c r="R43" s="2"/>
      <c r="S43" s="2"/>
      <c r="T43" s="2"/>
      <c r="U43" s="2"/>
      <c r="V43" s="2"/>
      <c r="W43" s="2"/>
      <c r="X43" s="2">
        <v>20218921</v>
      </c>
    </row>
    <row r="44" spans="6:24" x14ac:dyDescent="0.3">
      <c r="F44" s="3" t="s">
        <v>65</v>
      </c>
      <c r="G44" s="2">
        <v>57362581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>
        <v>57362581</v>
      </c>
    </row>
    <row r="45" spans="6:24" x14ac:dyDescent="0.3">
      <c r="F45" s="3" t="s">
        <v>43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>
        <v>70071</v>
      </c>
      <c r="W45" s="2"/>
      <c r="X45" s="2">
        <v>70071</v>
      </c>
    </row>
    <row r="46" spans="6:24" x14ac:dyDescent="0.3">
      <c r="F46" s="3" t="s">
        <v>66</v>
      </c>
      <c r="G46" s="2"/>
      <c r="H46" s="2"/>
      <c r="I46" s="2"/>
      <c r="J46" s="2"/>
      <c r="K46" s="2"/>
      <c r="L46" s="2"/>
      <c r="M46" s="2"/>
      <c r="N46" s="2">
        <v>978908</v>
      </c>
      <c r="O46" s="2"/>
      <c r="P46" s="2"/>
      <c r="Q46" s="2"/>
      <c r="R46" s="2"/>
      <c r="S46" s="2"/>
      <c r="T46" s="2"/>
      <c r="U46" s="2"/>
      <c r="V46" s="2"/>
      <c r="W46" s="2"/>
      <c r="X46" s="2">
        <v>978908</v>
      </c>
    </row>
    <row r="47" spans="6:24" x14ac:dyDescent="0.3">
      <c r="F47" s="3" t="s">
        <v>32</v>
      </c>
      <c r="G47" s="2"/>
      <c r="H47" s="2"/>
      <c r="I47" s="2"/>
      <c r="J47" s="2"/>
      <c r="K47" s="2">
        <v>17016190</v>
      </c>
      <c r="L47" s="2"/>
      <c r="M47" s="2"/>
      <c r="N47" s="2">
        <v>1185783</v>
      </c>
      <c r="O47" s="2"/>
      <c r="P47" s="2"/>
      <c r="Q47" s="2"/>
      <c r="R47" s="2"/>
      <c r="S47" s="2"/>
      <c r="T47" s="2"/>
      <c r="U47" s="2"/>
      <c r="V47" s="2"/>
      <c r="W47" s="2"/>
      <c r="X47" s="2">
        <v>18201973</v>
      </c>
    </row>
    <row r="48" spans="6:24" x14ac:dyDescent="0.3">
      <c r="F48" s="3" t="s">
        <v>56</v>
      </c>
      <c r="G48" s="2">
        <v>7268659</v>
      </c>
      <c r="H48" s="2">
        <v>5701643</v>
      </c>
      <c r="I48" s="2"/>
      <c r="J48" s="2"/>
      <c r="K48" s="2"/>
      <c r="L48" s="2"/>
      <c r="M48" s="2"/>
      <c r="N48" s="2"/>
      <c r="O48" s="2"/>
      <c r="P48" s="2">
        <v>1487477</v>
      </c>
      <c r="Q48" s="2"/>
      <c r="R48" s="2"/>
      <c r="S48" s="2"/>
      <c r="T48" s="2"/>
      <c r="U48" s="2"/>
      <c r="V48" s="2"/>
      <c r="W48" s="2"/>
      <c r="X48" s="2">
        <v>14457779</v>
      </c>
    </row>
    <row r="49" spans="6:24" x14ac:dyDescent="0.3">
      <c r="F49" s="3" t="s">
        <v>50</v>
      </c>
      <c r="G49" s="2">
        <v>115651193</v>
      </c>
      <c r="H49" s="2"/>
      <c r="I49" s="2"/>
      <c r="J49" s="2"/>
      <c r="K49" s="2"/>
      <c r="L49" s="2"/>
      <c r="M49" s="2"/>
      <c r="N49" s="2">
        <v>45089048</v>
      </c>
      <c r="O49" s="2"/>
      <c r="P49" s="2"/>
      <c r="Q49" s="2"/>
      <c r="R49" s="2"/>
      <c r="S49" s="2"/>
      <c r="T49" s="2"/>
      <c r="U49" s="2"/>
      <c r="V49" s="2"/>
      <c r="W49" s="2"/>
      <c r="X49" s="2">
        <v>160740241</v>
      </c>
    </row>
    <row r="50" spans="6:24" x14ac:dyDescent="0.3">
      <c r="F50" s="3" t="s">
        <v>51</v>
      </c>
      <c r="G50" s="2">
        <v>16758080</v>
      </c>
      <c r="H50" s="2"/>
      <c r="I50" s="2"/>
      <c r="J50" s="2"/>
      <c r="K50" s="2">
        <v>2365003</v>
      </c>
      <c r="L50" s="2">
        <v>211667</v>
      </c>
      <c r="M50" s="2"/>
      <c r="N50" s="2">
        <v>2181290</v>
      </c>
      <c r="O50" s="2"/>
      <c r="P50" s="2"/>
      <c r="Q50" s="2"/>
      <c r="R50" s="2"/>
      <c r="S50" s="2"/>
      <c r="T50" s="2"/>
      <c r="U50" s="2"/>
      <c r="V50" s="2"/>
      <c r="W50" s="2"/>
      <c r="X50" s="2">
        <v>21516040</v>
      </c>
    </row>
    <row r="51" spans="6:24" x14ac:dyDescent="0.3">
      <c r="F51" s="3" t="s">
        <v>27</v>
      </c>
      <c r="G51" s="2">
        <v>229311</v>
      </c>
      <c r="H51" s="2">
        <v>42811900</v>
      </c>
      <c r="I51" s="2"/>
      <c r="J51" s="2">
        <v>3154737</v>
      </c>
      <c r="K51" s="2">
        <v>56963064</v>
      </c>
      <c r="L51" s="2">
        <v>2207248</v>
      </c>
      <c r="M51" s="2"/>
      <c r="N51" s="2">
        <v>91673605</v>
      </c>
      <c r="O51" s="2"/>
      <c r="P51" s="2"/>
      <c r="Q51" s="2">
        <v>65132</v>
      </c>
      <c r="R51" s="2"/>
      <c r="S51" s="2">
        <v>18653746</v>
      </c>
      <c r="T51" s="2"/>
      <c r="U51" s="2"/>
      <c r="V51" s="2"/>
      <c r="W51" s="2"/>
      <c r="X51" s="2">
        <v>215758743</v>
      </c>
    </row>
    <row r="52" spans="6:24" x14ac:dyDescent="0.3">
      <c r="F52" s="3" t="s">
        <v>40</v>
      </c>
      <c r="G52" s="2"/>
      <c r="H52" s="2"/>
      <c r="I52" s="2"/>
      <c r="J52" s="2"/>
      <c r="K52" s="2">
        <v>9910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>
        <v>9910</v>
      </c>
    </row>
    <row r="53" spans="6:24" x14ac:dyDescent="0.3">
      <c r="F53" s="3" t="s">
        <v>47</v>
      </c>
      <c r="G53" s="2">
        <v>128681364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>
        <v>128681364</v>
      </c>
    </row>
    <row r="54" spans="6:24" x14ac:dyDescent="0.3">
      <c r="F54" s="3" t="s">
        <v>60</v>
      </c>
      <c r="G54" s="2">
        <v>12461991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>
        <v>12461991</v>
      </c>
    </row>
    <row r="55" spans="6:24" x14ac:dyDescent="0.3">
      <c r="F55" s="3" t="s">
        <v>30</v>
      </c>
      <c r="G55" s="2">
        <v>3099974501</v>
      </c>
      <c r="H55" s="2">
        <v>2823401894</v>
      </c>
      <c r="I55" s="2">
        <v>132206052</v>
      </c>
      <c r="J55" s="2">
        <v>950806244</v>
      </c>
      <c r="K55" s="2">
        <v>980270042</v>
      </c>
      <c r="L55" s="2">
        <v>366995069</v>
      </c>
      <c r="M55" s="2">
        <v>5352503</v>
      </c>
      <c r="N55" s="2">
        <v>1236661845</v>
      </c>
      <c r="O55" s="2"/>
      <c r="P55" s="2">
        <v>14564027</v>
      </c>
      <c r="Q55" s="2">
        <v>195236323</v>
      </c>
      <c r="R55" s="2"/>
      <c r="S55" s="2"/>
      <c r="T55" s="2"/>
      <c r="U55" s="2"/>
      <c r="V55" s="2"/>
      <c r="W55" s="2"/>
      <c r="X55" s="2">
        <v>9805468500</v>
      </c>
    </row>
    <row r="56" spans="6:24" x14ac:dyDescent="0.3">
      <c r="F56" s="3" t="s">
        <v>26</v>
      </c>
      <c r="G56" s="2">
        <v>59778470770</v>
      </c>
      <c r="H56" s="2">
        <v>26748337472</v>
      </c>
      <c r="I56" s="2">
        <v>3528074076</v>
      </c>
      <c r="J56" s="2">
        <v>6288688296</v>
      </c>
      <c r="K56" s="2">
        <v>35675230901</v>
      </c>
      <c r="L56" s="2">
        <v>7485361502</v>
      </c>
      <c r="M56" s="2">
        <v>435104871</v>
      </c>
      <c r="N56" s="2">
        <v>17705898861</v>
      </c>
      <c r="O56" s="2">
        <v>447481433</v>
      </c>
      <c r="P56" s="2">
        <v>1257990540</v>
      </c>
      <c r="Q56" s="2">
        <v>4729877904</v>
      </c>
      <c r="R56" s="2">
        <v>184168000</v>
      </c>
      <c r="S56" s="2">
        <v>1036780660</v>
      </c>
      <c r="T56" s="2">
        <v>62529697</v>
      </c>
      <c r="U56" s="2">
        <v>208518596</v>
      </c>
      <c r="V56" s="2">
        <v>2468</v>
      </c>
      <c r="W56" s="2">
        <v>41643768</v>
      </c>
      <c r="X56" s="2">
        <v>165614159815</v>
      </c>
    </row>
    <row r="57" spans="6:24" x14ac:dyDescent="0.3">
      <c r="F57" s="3" t="s">
        <v>48</v>
      </c>
      <c r="G57" s="2"/>
      <c r="H57" s="2">
        <v>11433134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>
        <v>11433134</v>
      </c>
    </row>
    <row r="58" spans="6:24" x14ac:dyDescent="0.3">
      <c r="F58" s="3" t="s">
        <v>20</v>
      </c>
      <c r="G58" s="2">
        <v>67540890818</v>
      </c>
      <c r="H58" s="2">
        <v>30971335977</v>
      </c>
      <c r="I58" s="2">
        <v>3810674545</v>
      </c>
      <c r="J58" s="2">
        <v>7494903091</v>
      </c>
      <c r="K58" s="2">
        <v>38027993497</v>
      </c>
      <c r="L58" s="2">
        <v>8119707029</v>
      </c>
      <c r="M58" s="2">
        <v>548215042</v>
      </c>
      <c r="N58" s="2">
        <v>20045418442</v>
      </c>
      <c r="O58" s="2">
        <v>447481433</v>
      </c>
      <c r="P58" s="2">
        <v>1399895199</v>
      </c>
      <c r="Q58" s="2">
        <v>5198971387</v>
      </c>
      <c r="R58" s="2">
        <v>184168000</v>
      </c>
      <c r="S58" s="2">
        <v>1127963819</v>
      </c>
      <c r="T58" s="2">
        <v>62659016</v>
      </c>
      <c r="U58" s="2">
        <v>208574725</v>
      </c>
      <c r="V58" s="2">
        <v>121539</v>
      </c>
      <c r="W58" s="2">
        <v>47743768</v>
      </c>
      <c r="X58" s="2">
        <v>185236717327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BBFF-6F27-480B-A9A7-581A3A378F3D}">
  <dimension ref="F10:G124"/>
  <sheetViews>
    <sheetView tabSelected="1" topLeftCell="E60" zoomScale="55" zoomScaleNormal="55" workbookViewId="0">
      <selection activeCell="I64" sqref="I64"/>
    </sheetView>
  </sheetViews>
  <sheetFormatPr defaultRowHeight="14.4" x14ac:dyDescent="0.3"/>
  <cols>
    <col min="6" max="6" width="14.44140625" bestFit="1" customWidth="1"/>
    <col min="7" max="7" width="20" bestFit="1" customWidth="1"/>
    <col min="8" max="8" width="12" bestFit="1" customWidth="1"/>
    <col min="9" max="9" width="11" bestFit="1" customWidth="1"/>
    <col min="10" max="10" width="10" bestFit="1" customWidth="1"/>
    <col min="11" max="11" width="11" bestFit="1" customWidth="1"/>
    <col min="12" max="12" width="12.44140625" bestFit="1" customWidth="1"/>
    <col min="13" max="13" width="11" bestFit="1" customWidth="1"/>
    <col min="14" max="15" width="10" bestFit="1" customWidth="1"/>
    <col min="16" max="17" width="9" bestFit="1" customWidth="1"/>
    <col min="18" max="18" width="12" bestFit="1" customWidth="1"/>
    <col min="19" max="19" width="11" bestFit="1" customWidth="1"/>
    <col min="20" max="20" width="9" bestFit="1" customWidth="1"/>
    <col min="21" max="21" width="10" bestFit="1" customWidth="1"/>
    <col min="22" max="22" width="7" bestFit="1" customWidth="1"/>
    <col min="23" max="23" width="9" bestFit="1" customWidth="1"/>
    <col min="24" max="24" width="12" bestFit="1" customWidth="1"/>
  </cols>
  <sheetData>
    <row r="10" spans="6:7" x14ac:dyDescent="0.3">
      <c r="F10" s="1" t="s">
        <v>3</v>
      </c>
      <c r="G10" t="s">
        <v>25</v>
      </c>
    </row>
    <row r="11" spans="6:7" x14ac:dyDescent="0.3">
      <c r="F11" s="3" t="s">
        <v>70</v>
      </c>
      <c r="G11" s="2">
        <v>67540890818</v>
      </c>
    </row>
    <row r="12" spans="6:7" x14ac:dyDescent="0.3">
      <c r="F12" s="6" t="s">
        <v>94</v>
      </c>
      <c r="G12" s="2">
        <v>244967035</v>
      </c>
    </row>
    <row r="13" spans="6:7" x14ac:dyDescent="0.3">
      <c r="F13" s="6" t="s">
        <v>88</v>
      </c>
      <c r="G13" s="2">
        <v>96090224</v>
      </c>
    </row>
    <row r="14" spans="6:7" x14ac:dyDescent="0.3">
      <c r="F14" s="6" t="s">
        <v>96</v>
      </c>
      <c r="G14" s="2">
        <v>43800000</v>
      </c>
    </row>
    <row r="15" spans="6:7" x14ac:dyDescent="0.3">
      <c r="F15" s="6" t="s">
        <v>97</v>
      </c>
      <c r="G15" s="2">
        <v>22800000</v>
      </c>
    </row>
    <row r="16" spans="6:7" x14ac:dyDescent="0.3">
      <c r="F16" s="6" t="s">
        <v>92</v>
      </c>
      <c r="G16" s="2">
        <v>1316558</v>
      </c>
    </row>
    <row r="17" spans="6:7" x14ac:dyDescent="0.3">
      <c r="F17" s="6" t="s">
        <v>89</v>
      </c>
      <c r="G17" s="2">
        <v>10950373811</v>
      </c>
    </row>
    <row r="18" spans="6:7" x14ac:dyDescent="0.3">
      <c r="F18" s="6" t="s">
        <v>86</v>
      </c>
      <c r="G18" s="2">
        <v>40036059554</v>
      </c>
    </row>
    <row r="19" spans="6:7" x14ac:dyDescent="0.3">
      <c r="F19" s="6" t="s">
        <v>87</v>
      </c>
      <c r="G19" s="2">
        <v>16092170595</v>
      </c>
    </row>
    <row r="20" spans="6:7" x14ac:dyDescent="0.3">
      <c r="F20" s="6" t="s">
        <v>90</v>
      </c>
      <c r="G20" s="2">
        <v>269061</v>
      </c>
    </row>
    <row r="21" spans="6:7" x14ac:dyDescent="0.3">
      <c r="F21" s="6" t="s">
        <v>95</v>
      </c>
      <c r="G21" s="2">
        <v>44793200</v>
      </c>
    </row>
    <row r="22" spans="6:7" x14ac:dyDescent="0.3">
      <c r="F22" s="6" t="s">
        <v>91</v>
      </c>
      <c r="G22" s="2">
        <v>8250780</v>
      </c>
    </row>
    <row r="23" spans="6:7" x14ac:dyDescent="0.3">
      <c r="F23" s="3" t="s">
        <v>71</v>
      </c>
      <c r="G23" s="2">
        <v>30971335977</v>
      </c>
    </row>
    <row r="24" spans="6:7" x14ac:dyDescent="0.3">
      <c r="F24" s="6" t="s">
        <v>94</v>
      </c>
      <c r="G24" s="2">
        <v>7970873</v>
      </c>
    </row>
    <row r="25" spans="6:7" x14ac:dyDescent="0.3">
      <c r="F25" s="6" t="s">
        <v>88</v>
      </c>
      <c r="G25" s="2">
        <v>5466455165</v>
      </c>
    </row>
    <row r="26" spans="6:7" x14ac:dyDescent="0.3">
      <c r="F26" s="6" t="s">
        <v>92</v>
      </c>
      <c r="G26" s="2">
        <v>686383</v>
      </c>
    </row>
    <row r="27" spans="6:7" x14ac:dyDescent="0.3">
      <c r="F27" s="6" t="s">
        <v>98</v>
      </c>
      <c r="G27" s="2">
        <v>22202612</v>
      </c>
    </row>
    <row r="28" spans="6:7" x14ac:dyDescent="0.3">
      <c r="F28" s="6" t="s">
        <v>89</v>
      </c>
      <c r="G28" s="2">
        <v>15452844612</v>
      </c>
    </row>
    <row r="29" spans="6:7" x14ac:dyDescent="0.3">
      <c r="F29" s="6" t="s">
        <v>86</v>
      </c>
      <c r="G29" s="2">
        <v>7967864978</v>
      </c>
    </row>
    <row r="30" spans="6:7" x14ac:dyDescent="0.3">
      <c r="F30" s="6" t="s">
        <v>87</v>
      </c>
      <c r="G30" s="2">
        <v>2045278178</v>
      </c>
    </row>
    <row r="31" spans="6:7" x14ac:dyDescent="0.3">
      <c r="F31" s="6" t="s">
        <v>91</v>
      </c>
      <c r="G31" s="2">
        <v>8033176</v>
      </c>
    </row>
    <row r="32" spans="6:7" x14ac:dyDescent="0.3">
      <c r="F32" s="3" t="s">
        <v>72</v>
      </c>
      <c r="G32" s="2">
        <v>3810674545</v>
      </c>
    </row>
    <row r="33" spans="6:7" x14ac:dyDescent="0.3">
      <c r="F33" s="6" t="s">
        <v>94</v>
      </c>
      <c r="G33" s="2">
        <v>269225485</v>
      </c>
    </row>
    <row r="34" spans="6:7" x14ac:dyDescent="0.3">
      <c r="F34" s="6" t="s">
        <v>88</v>
      </c>
      <c r="G34" s="2">
        <v>727207806</v>
      </c>
    </row>
    <row r="35" spans="6:7" x14ac:dyDescent="0.3">
      <c r="F35" s="6" t="s">
        <v>89</v>
      </c>
      <c r="G35" s="2">
        <v>2733967565</v>
      </c>
    </row>
    <row r="36" spans="6:7" x14ac:dyDescent="0.3">
      <c r="F36" s="6" t="s">
        <v>86</v>
      </c>
      <c r="G36" s="2">
        <v>16855175</v>
      </c>
    </row>
    <row r="37" spans="6:7" x14ac:dyDescent="0.3">
      <c r="F37" s="6" t="s">
        <v>87</v>
      </c>
      <c r="G37" s="2">
        <v>63418514</v>
      </c>
    </row>
    <row r="38" spans="6:7" x14ac:dyDescent="0.3">
      <c r="F38" s="3" t="s">
        <v>73</v>
      </c>
      <c r="G38" s="2">
        <v>7494903091</v>
      </c>
    </row>
    <row r="39" spans="6:7" x14ac:dyDescent="0.3">
      <c r="F39" s="6" t="s">
        <v>94</v>
      </c>
      <c r="G39" s="2">
        <v>57750000</v>
      </c>
    </row>
    <row r="40" spans="6:7" x14ac:dyDescent="0.3">
      <c r="F40" s="6" t="s">
        <v>88</v>
      </c>
      <c r="G40" s="2">
        <v>177412152</v>
      </c>
    </row>
    <row r="41" spans="6:7" x14ac:dyDescent="0.3">
      <c r="F41" s="6" t="s">
        <v>97</v>
      </c>
      <c r="G41" s="2">
        <v>102308900</v>
      </c>
    </row>
    <row r="42" spans="6:7" x14ac:dyDescent="0.3">
      <c r="F42" s="6" t="s">
        <v>93</v>
      </c>
      <c r="G42" s="2">
        <v>653621</v>
      </c>
    </row>
    <row r="43" spans="6:7" x14ac:dyDescent="0.3">
      <c r="F43" s="6" t="s">
        <v>92</v>
      </c>
      <c r="G43" s="2">
        <v>484221</v>
      </c>
    </row>
    <row r="44" spans="6:7" x14ac:dyDescent="0.3">
      <c r="F44" s="6" t="s">
        <v>98</v>
      </c>
      <c r="G44" s="2">
        <v>8000000</v>
      </c>
    </row>
    <row r="45" spans="6:7" x14ac:dyDescent="0.3">
      <c r="F45" s="6" t="s">
        <v>89</v>
      </c>
      <c r="G45" s="2">
        <v>993271055</v>
      </c>
    </row>
    <row r="46" spans="6:7" x14ac:dyDescent="0.3">
      <c r="F46" s="6" t="s">
        <v>86</v>
      </c>
      <c r="G46" s="2">
        <v>3337237188</v>
      </c>
    </row>
    <row r="47" spans="6:7" x14ac:dyDescent="0.3">
      <c r="F47" s="6" t="s">
        <v>87</v>
      </c>
      <c r="G47" s="2">
        <v>2815992534</v>
      </c>
    </row>
    <row r="48" spans="6:7" x14ac:dyDescent="0.3">
      <c r="F48" s="6" t="s">
        <v>90</v>
      </c>
      <c r="G48" s="2">
        <v>866313</v>
      </c>
    </row>
    <row r="49" spans="6:7" x14ac:dyDescent="0.3">
      <c r="F49" s="6" t="s">
        <v>91</v>
      </c>
      <c r="G49" s="2">
        <v>927107</v>
      </c>
    </row>
    <row r="50" spans="6:7" x14ac:dyDescent="0.3">
      <c r="F50" s="3" t="s">
        <v>68</v>
      </c>
      <c r="G50" s="2">
        <v>38027993497</v>
      </c>
    </row>
    <row r="51" spans="6:7" x14ac:dyDescent="0.3">
      <c r="F51" s="6" t="s">
        <v>94</v>
      </c>
      <c r="G51" s="2">
        <v>105815005</v>
      </c>
    </row>
    <row r="52" spans="6:7" x14ac:dyDescent="0.3">
      <c r="F52" s="6" t="s">
        <v>88</v>
      </c>
      <c r="G52" s="2">
        <v>628777083</v>
      </c>
    </row>
    <row r="53" spans="6:7" x14ac:dyDescent="0.3">
      <c r="F53" s="6" t="s">
        <v>93</v>
      </c>
      <c r="G53" s="2">
        <v>762507</v>
      </c>
    </row>
    <row r="54" spans="6:7" x14ac:dyDescent="0.3">
      <c r="F54" s="6" t="s">
        <v>92</v>
      </c>
      <c r="G54" s="2">
        <v>26384674</v>
      </c>
    </row>
    <row r="55" spans="6:7" x14ac:dyDescent="0.3">
      <c r="F55" s="6" t="s">
        <v>89</v>
      </c>
      <c r="G55" s="2">
        <v>7847520104</v>
      </c>
    </row>
    <row r="56" spans="6:7" x14ac:dyDescent="0.3">
      <c r="F56" s="6" t="s">
        <v>86</v>
      </c>
      <c r="G56" s="2">
        <v>17635413030</v>
      </c>
    </row>
    <row r="57" spans="6:7" x14ac:dyDescent="0.3">
      <c r="F57" s="6" t="s">
        <v>87</v>
      </c>
      <c r="G57" s="2">
        <v>11749018050</v>
      </c>
    </row>
    <row r="58" spans="6:7" x14ac:dyDescent="0.3">
      <c r="F58" s="6" t="s">
        <v>90</v>
      </c>
      <c r="G58" s="2">
        <v>5677168</v>
      </c>
    </row>
    <row r="59" spans="6:7" x14ac:dyDescent="0.3">
      <c r="F59" s="6" t="s">
        <v>95</v>
      </c>
      <c r="G59" s="2">
        <v>22948916</v>
      </c>
    </row>
    <row r="60" spans="6:7" x14ac:dyDescent="0.3">
      <c r="F60" s="6" t="s">
        <v>91</v>
      </c>
      <c r="G60" s="2">
        <v>5676960</v>
      </c>
    </row>
    <row r="61" spans="6:7" x14ac:dyDescent="0.3">
      <c r="F61" s="3" t="s">
        <v>74</v>
      </c>
      <c r="G61" s="2">
        <v>8119707029</v>
      </c>
    </row>
    <row r="62" spans="6:7" x14ac:dyDescent="0.3">
      <c r="F62" s="6" t="s">
        <v>93</v>
      </c>
      <c r="G62" s="2">
        <v>1141829</v>
      </c>
    </row>
    <row r="63" spans="6:7" x14ac:dyDescent="0.3">
      <c r="F63" s="6" t="s">
        <v>92</v>
      </c>
      <c r="G63" s="2">
        <v>12644242</v>
      </c>
    </row>
    <row r="64" spans="6:7" x14ac:dyDescent="0.3">
      <c r="F64" s="6" t="s">
        <v>86</v>
      </c>
      <c r="G64" s="2">
        <v>1588280368</v>
      </c>
    </row>
    <row r="65" spans="6:7" x14ac:dyDescent="0.3">
      <c r="F65" s="6" t="s">
        <v>87</v>
      </c>
      <c r="G65" s="2">
        <v>6473562062</v>
      </c>
    </row>
    <row r="66" spans="6:7" x14ac:dyDescent="0.3">
      <c r="F66" s="6" t="s">
        <v>90</v>
      </c>
      <c r="G66" s="2">
        <v>43977919</v>
      </c>
    </row>
    <row r="67" spans="6:7" x14ac:dyDescent="0.3">
      <c r="F67" s="6" t="s">
        <v>91</v>
      </c>
      <c r="G67" s="2">
        <v>100609</v>
      </c>
    </row>
    <row r="68" spans="6:7" x14ac:dyDescent="0.3">
      <c r="F68" s="3" t="s">
        <v>75</v>
      </c>
      <c r="G68" s="2">
        <v>548215042</v>
      </c>
    </row>
    <row r="69" spans="6:7" x14ac:dyDescent="0.3">
      <c r="F69" s="6" t="s">
        <v>88</v>
      </c>
      <c r="G69" s="2">
        <v>180682783</v>
      </c>
    </row>
    <row r="70" spans="6:7" x14ac:dyDescent="0.3">
      <c r="F70" s="6" t="s">
        <v>92</v>
      </c>
      <c r="G70" s="2">
        <v>443645</v>
      </c>
    </row>
    <row r="71" spans="6:7" x14ac:dyDescent="0.3">
      <c r="F71" s="6" t="s">
        <v>89</v>
      </c>
      <c r="G71" s="2">
        <v>175109754</v>
      </c>
    </row>
    <row r="72" spans="6:7" x14ac:dyDescent="0.3">
      <c r="F72" s="6" t="s">
        <v>86</v>
      </c>
      <c r="G72" s="2">
        <v>40369512</v>
      </c>
    </row>
    <row r="73" spans="6:7" x14ac:dyDescent="0.3">
      <c r="F73" s="6" t="s">
        <v>87</v>
      </c>
      <c r="G73" s="2">
        <v>144421497</v>
      </c>
    </row>
    <row r="74" spans="6:7" x14ac:dyDescent="0.3">
      <c r="F74" s="6" t="s">
        <v>90</v>
      </c>
      <c r="G74" s="2">
        <v>1443875</v>
      </c>
    </row>
    <row r="75" spans="6:7" x14ac:dyDescent="0.3">
      <c r="F75" s="6" t="s">
        <v>91</v>
      </c>
      <c r="G75" s="2">
        <v>5743976</v>
      </c>
    </row>
    <row r="76" spans="6:7" x14ac:dyDescent="0.3">
      <c r="F76" s="3" t="s">
        <v>76</v>
      </c>
      <c r="G76" s="2">
        <v>20045418442</v>
      </c>
    </row>
    <row r="77" spans="6:7" x14ac:dyDescent="0.3">
      <c r="F77" s="6" t="s">
        <v>94</v>
      </c>
      <c r="G77" s="2">
        <v>72000000</v>
      </c>
    </row>
    <row r="78" spans="6:7" x14ac:dyDescent="0.3">
      <c r="F78" s="6" t="s">
        <v>88</v>
      </c>
      <c r="G78" s="2">
        <v>360597043</v>
      </c>
    </row>
    <row r="79" spans="6:7" x14ac:dyDescent="0.3">
      <c r="F79" s="6" t="s">
        <v>93</v>
      </c>
      <c r="G79" s="2">
        <v>24303265</v>
      </c>
    </row>
    <row r="80" spans="6:7" x14ac:dyDescent="0.3">
      <c r="F80" s="6" t="s">
        <v>92</v>
      </c>
      <c r="G80" s="2">
        <v>69265971</v>
      </c>
    </row>
    <row r="81" spans="6:7" x14ac:dyDescent="0.3">
      <c r="F81" s="6" t="s">
        <v>89</v>
      </c>
      <c r="G81" s="2">
        <v>1819043120</v>
      </c>
    </row>
    <row r="82" spans="6:7" x14ac:dyDescent="0.3">
      <c r="F82" s="6" t="s">
        <v>86</v>
      </c>
      <c r="G82" s="2">
        <v>9924568486</v>
      </c>
    </row>
    <row r="83" spans="6:7" x14ac:dyDescent="0.3">
      <c r="F83" s="6" t="s">
        <v>87</v>
      </c>
      <c r="G83" s="2">
        <v>7686364177</v>
      </c>
    </row>
    <row r="84" spans="6:7" x14ac:dyDescent="0.3">
      <c r="F84" s="6" t="s">
        <v>90</v>
      </c>
      <c r="G84" s="2">
        <v>77902509</v>
      </c>
    </row>
    <row r="85" spans="6:7" x14ac:dyDescent="0.3">
      <c r="F85" s="6" t="s">
        <v>91</v>
      </c>
      <c r="G85" s="2">
        <v>11373871</v>
      </c>
    </row>
    <row r="86" spans="6:7" x14ac:dyDescent="0.3">
      <c r="F86" s="3" t="s">
        <v>77</v>
      </c>
      <c r="G86" s="2">
        <v>447481433</v>
      </c>
    </row>
    <row r="87" spans="6:7" x14ac:dyDescent="0.3">
      <c r="F87" s="6" t="s">
        <v>88</v>
      </c>
      <c r="G87" s="2">
        <v>2119994</v>
      </c>
    </row>
    <row r="88" spans="6:7" x14ac:dyDescent="0.3">
      <c r="F88" s="6" t="s">
        <v>89</v>
      </c>
      <c r="G88" s="2">
        <v>445361439</v>
      </c>
    </row>
    <row r="89" spans="6:7" x14ac:dyDescent="0.3">
      <c r="F89" s="3" t="s">
        <v>78</v>
      </c>
      <c r="G89" s="2">
        <v>1399895199</v>
      </c>
    </row>
    <row r="90" spans="6:7" x14ac:dyDescent="0.3">
      <c r="F90" s="6" t="s">
        <v>92</v>
      </c>
      <c r="G90" s="2">
        <v>3478</v>
      </c>
    </row>
    <row r="91" spans="6:7" x14ac:dyDescent="0.3">
      <c r="F91" s="6" t="s">
        <v>89</v>
      </c>
      <c r="G91" s="2">
        <v>106100000</v>
      </c>
    </row>
    <row r="92" spans="6:7" x14ac:dyDescent="0.3">
      <c r="F92" s="6" t="s">
        <v>86</v>
      </c>
      <c r="G92" s="2">
        <v>696992331</v>
      </c>
    </row>
    <row r="93" spans="6:7" x14ac:dyDescent="0.3">
      <c r="F93" s="6" t="s">
        <v>87</v>
      </c>
      <c r="G93" s="2">
        <v>574631031</v>
      </c>
    </row>
    <row r="94" spans="6:7" x14ac:dyDescent="0.3">
      <c r="F94" s="6" t="s">
        <v>95</v>
      </c>
      <c r="G94" s="2">
        <v>22168359</v>
      </c>
    </row>
    <row r="95" spans="6:7" x14ac:dyDescent="0.3">
      <c r="F95" s="3" t="s">
        <v>79</v>
      </c>
      <c r="G95" s="2">
        <v>5198971387</v>
      </c>
    </row>
    <row r="96" spans="6:7" x14ac:dyDescent="0.3">
      <c r="F96" s="6" t="s">
        <v>92</v>
      </c>
      <c r="G96" s="2">
        <v>12843</v>
      </c>
    </row>
    <row r="97" spans="6:7" x14ac:dyDescent="0.3">
      <c r="F97" s="6" t="s">
        <v>89</v>
      </c>
      <c r="G97" s="2">
        <v>21884663</v>
      </c>
    </row>
    <row r="98" spans="6:7" x14ac:dyDescent="0.3">
      <c r="F98" s="6" t="s">
        <v>86</v>
      </c>
      <c r="G98" s="2">
        <v>804331593</v>
      </c>
    </row>
    <row r="99" spans="6:7" x14ac:dyDescent="0.3">
      <c r="F99" s="6" t="s">
        <v>87</v>
      </c>
      <c r="G99" s="2">
        <v>4330823209</v>
      </c>
    </row>
    <row r="100" spans="6:7" x14ac:dyDescent="0.3">
      <c r="F100" s="6" t="s">
        <v>90</v>
      </c>
      <c r="G100" s="2">
        <v>3645438</v>
      </c>
    </row>
    <row r="101" spans="6:7" x14ac:dyDescent="0.3">
      <c r="F101" s="6" t="s">
        <v>95</v>
      </c>
      <c r="G101" s="2">
        <v>38273641</v>
      </c>
    </row>
    <row r="102" spans="6:7" x14ac:dyDescent="0.3">
      <c r="F102" s="3" t="s">
        <v>80</v>
      </c>
      <c r="G102" s="2">
        <v>184168000</v>
      </c>
    </row>
    <row r="103" spans="6:7" x14ac:dyDescent="0.3">
      <c r="F103" s="6" t="s">
        <v>98</v>
      </c>
      <c r="G103" s="2">
        <v>2808000</v>
      </c>
    </row>
    <row r="104" spans="6:7" x14ac:dyDescent="0.3">
      <c r="F104" s="6" t="s">
        <v>86</v>
      </c>
      <c r="G104" s="2">
        <v>181360000</v>
      </c>
    </row>
    <row r="105" spans="6:7" x14ac:dyDescent="0.3">
      <c r="F105" s="3" t="s">
        <v>81</v>
      </c>
      <c r="G105" s="2">
        <v>1127963819</v>
      </c>
    </row>
    <row r="106" spans="6:7" x14ac:dyDescent="0.3">
      <c r="F106" s="6" t="s">
        <v>86</v>
      </c>
      <c r="G106" s="2">
        <v>679235812</v>
      </c>
    </row>
    <row r="107" spans="6:7" x14ac:dyDescent="0.3">
      <c r="F107" s="6" t="s">
        <v>87</v>
      </c>
      <c r="G107" s="2">
        <v>416829007</v>
      </c>
    </row>
    <row r="108" spans="6:7" x14ac:dyDescent="0.3">
      <c r="F108" s="6" t="s">
        <v>95</v>
      </c>
      <c r="G108" s="2">
        <v>31899000</v>
      </c>
    </row>
    <row r="109" spans="6:7" x14ac:dyDescent="0.3">
      <c r="F109" s="3" t="s">
        <v>82</v>
      </c>
      <c r="G109" s="2">
        <v>62659016</v>
      </c>
    </row>
    <row r="110" spans="6:7" x14ac:dyDescent="0.3">
      <c r="F110" s="6" t="s">
        <v>86</v>
      </c>
      <c r="G110" s="2">
        <v>62453315</v>
      </c>
    </row>
    <row r="111" spans="6:7" x14ac:dyDescent="0.3">
      <c r="F111" s="6" t="s">
        <v>91</v>
      </c>
      <c r="G111" s="2">
        <v>205701</v>
      </c>
    </row>
    <row r="112" spans="6:7" x14ac:dyDescent="0.3">
      <c r="F112" s="3" t="s">
        <v>83</v>
      </c>
      <c r="G112" s="2">
        <v>208574725</v>
      </c>
    </row>
    <row r="113" spans="6:7" x14ac:dyDescent="0.3">
      <c r="F113" s="6" t="s">
        <v>89</v>
      </c>
      <c r="G113" s="2">
        <v>79568000</v>
      </c>
    </row>
    <row r="114" spans="6:7" x14ac:dyDescent="0.3">
      <c r="F114" s="6" t="s">
        <v>86</v>
      </c>
      <c r="G114" s="2">
        <v>37402542</v>
      </c>
    </row>
    <row r="115" spans="6:7" x14ac:dyDescent="0.3">
      <c r="F115" s="6" t="s">
        <v>87</v>
      </c>
      <c r="G115" s="2">
        <v>91585988</v>
      </c>
    </row>
    <row r="116" spans="6:7" x14ac:dyDescent="0.3">
      <c r="F116" s="6" t="s">
        <v>91</v>
      </c>
      <c r="G116" s="2">
        <v>18195</v>
      </c>
    </row>
    <row r="117" spans="6:7" x14ac:dyDescent="0.3">
      <c r="F117" s="3" t="s">
        <v>84</v>
      </c>
      <c r="G117" s="2">
        <v>121539</v>
      </c>
    </row>
    <row r="118" spans="6:7" x14ac:dyDescent="0.3">
      <c r="F118" s="6" t="s">
        <v>92</v>
      </c>
      <c r="G118" s="2">
        <v>70071</v>
      </c>
    </row>
    <row r="119" spans="6:7" x14ac:dyDescent="0.3">
      <c r="F119" s="6" t="s">
        <v>87</v>
      </c>
      <c r="G119" s="2">
        <v>2468</v>
      </c>
    </row>
    <row r="120" spans="6:7" x14ac:dyDescent="0.3">
      <c r="F120" s="6" t="s">
        <v>91</v>
      </c>
      <c r="G120" s="2">
        <v>49000</v>
      </c>
    </row>
    <row r="121" spans="6:7" x14ac:dyDescent="0.3">
      <c r="F121" s="3" t="s">
        <v>85</v>
      </c>
      <c r="G121" s="2">
        <v>47743768</v>
      </c>
    </row>
    <row r="122" spans="6:7" x14ac:dyDescent="0.3">
      <c r="F122" s="6" t="s">
        <v>94</v>
      </c>
      <c r="G122" s="2">
        <v>6100000</v>
      </c>
    </row>
    <row r="123" spans="6:7" x14ac:dyDescent="0.3">
      <c r="F123" s="6" t="s">
        <v>87</v>
      </c>
      <c r="G123" s="2">
        <v>41643768</v>
      </c>
    </row>
    <row r="124" spans="6:7" x14ac:dyDescent="0.3">
      <c r="F124" s="3" t="s">
        <v>20</v>
      </c>
      <c r="G124" s="2">
        <v>185236717327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2025-11-11T04:25:59Z</dcterms:created>
  <dcterms:modified xsi:type="dcterms:W3CDTF">2025-11-11T05:16:37Z</dcterms:modified>
</cp:coreProperties>
</file>